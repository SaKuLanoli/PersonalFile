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项目合集\命题分析\"/>
    </mc:Choice>
  </mc:AlternateContent>
  <xr:revisionPtr revIDLastSave="0" documentId="13_ncr:1_{07949F2E-8313-429F-823C-E70F08008CC4}" xr6:coauthVersionLast="47" xr6:coauthVersionMax="47" xr10:uidLastSave="{00000000-0000-0000-0000-000000000000}"/>
  <bookViews>
    <workbookView xWindow="43080" yWindow="-120" windowWidth="29040" windowHeight="15720" tabRatio="500" xr2:uid="{00000000-000D-0000-FFFF-FFFF00000000}"/>
  </bookViews>
  <sheets>
    <sheet name="总体概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1" l="1"/>
  <c r="E33" i="1"/>
  <c r="D34" i="1"/>
  <c r="E34" i="1"/>
  <c r="D35" i="1"/>
  <c r="E35" i="1"/>
  <c r="D36" i="1"/>
  <c r="E36" i="1"/>
</calcChain>
</file>

<file path=xl/sharedStrings.xml><?xml version="1.0" encoding="utf-8"?>
<sst xmlns="http://schemas.openxmlformats.org/spreadsheetml/2006/main" count="167" uniqueCount="164">
  <si>
    <t>一级维度</t>
  </si>
  <si>
    <t>分值</t>
  </si>
  <si>
    <t>工程适配性</t>
  </si>
  <si>
    <t>合计</t>
  </si>
  <si>
    <t>100%</t>
  </si>
  <si>
    <t>核心设计原则</t>
  </si>
  <si>
    <t>二级指标</t>
  </si>
  <si>
    <t>判定逻辑</t>
  </si>
  <si>
    <t>典型故障标签</t>
  </si>
  <si>
    <t>知识点匹配</t>
  </si>
  <si>
    <t>知识点跑偏超纲</t>
  </si>
  <si>
    <t>题干严谨性</t>
  </si>
  <si>
    <t>答案正确性</t>
  </si>
  <si>
    <t>难度可控</t>
  </si>
  <si>
    <t>实测难度与预设难度对比得出偏差等级，按折算系数折算</t>
  </si>
  <si>
    <t>难度严重漂移</t>
  </si>
  <si>
    <t>题型规范</t>
  </si>
  <si>
    <t>对照题型命题范式：选择题看选项与干扰项；解答题看设问梯度与采分点；实验题看环节完整性</t>
  </si>
  <si>
    <t>素养情境达标</t>
  </si>
  <si>
    <t>情境虚假数据</t>
  </si>
  <si>
    <t>触发条件</t>
  </si>
  <si>
    <t>业务含义</t>
  </si>
  <si>
    <t>基础分</t>
  </si>
  <si>
    <t>+20</t>
  </si>
  <si>
    <t>默认满分</t>
  </si>
  <si>
    <t>格式崩溃</t>
  </si>
  <si>
    <t>−12</t>
  </si>
  <si>
    <t>异常输出</t>
  </si>
  <si>
    <t>−8</t>
  </si>
  <si>
    <t>兜底保护</t>
  </si>
  <si>
    <t>≥0</t>
  </si>
  <si>
    <t>无成本日志可用，兜底档</t>
  </si>
  <si>
    <t>1 ~ 15000 ms</t>
  </si>
  <si>
    <t>毫秒级响应，性价比最优</t>
  </si>
  <si>
    <t>15001 ~ 30000 ms</t>
  </si>
  <si>
    <t>秒级响应，性价比一般</t>
  </si>
  <si>
    <t>&gt; 30000 ms</t>
  </si>
  <si>
    <t>明显偏慢，性价比承压</t>
  </si>
  <si>
    <t>无幻觉</t>
  </si>
  <si>
    <t>无安全误杀风险</t>
  </si>
  <si>
    <t>题目不属于被误判的敏感内容</t>
  </si>
  <si>
    <t>无批量衰减</t>
  </si>
  <si>
    <t>后段样本质量未明显敷衍</t>
  </si>
  <si>
    <t>无一致性风险</t>
  </si>
  <si>
    <t>指令跟随</t>
  </si>
  <si>
    <t>错误可自动拦截</t>
  </si>
  <si>
    <t>已发现的问题能被代码规则自动识别拦截</t>
  </si>
  <si>
    <t>无隐性逻辑风险</t>
  </si>
  <si>
    <t>未发现仅人工可识别的隐性逻辑漏洞</t>
  </si>
  <si>
    <t>偏差等级</t>
  </si>
  <si>
    <t>折算系数</t>
  </si>
  <si>
    <t>判定规则</t>
  </si>
  <si>
    <t>典型业务场景</t>
  </si>
  <si>
    <t>无偏差</t>
  </si>
  <si>
    <t>出题难度精准命中设定档位</t>
  </si>
  <si>
    <t>轻微偏差</t>
  </si>
  <si>
    <t>难度标定略漂移但仍可用</t>
  </si>
  <si>
    <t>中度偏差</t>
  </si>
  <si>
    <t>难度严重漂移，需重训或人工调参</t>
  </si>
  <si>
    <t>严重偏差</t>
  </si>
  <si>
    <t>优先级</t>
  </si>
  <si>
    <t>标签名称</t>
  </si>
  <si>
    <t>隐性逻辑幻觉</t>
  </si>
  <si>
    <t>表面自洽但深挖存在逻辑漏洞，仅人工可发现</t>
  </si>
  <si>
    <t>P2</t>
  </si>
  <si>
    <t>计算错误</t>
  </si>
  <si>
    <t>P3</t>
  </si>
  <si>
    <t>概念理解错误</t>
  </si>
  <si>
    <t>P4</t>
  </si>
  <si>
    <t>条件自相矛盾</t>
  </si>
  <si>
    <t>题干内部条件之间相互冲突，无法同时成立</t>
  </si>
  <si>
    <t>P5</t>
  </si>
  <si>
    <t>题干条件缺失</t>
  </si>
  <si>
    <t>必要条件未给出，导致题目无唯一解或不可解</t>
  </si>
  <si>
    <t>P6</t>
  </si>
  <si>
    <t>实际考察内容偏离指定知识点或超出高中课程标准</t>
  </si>
  <si>
    <t>P7</t>
  </si>
  <si>
    <t>干扰项质量差</t>
  </si>
  <si>
    <t>选择题干扰项同质性过强或明显错误，缺乏迷惑性</t>
  </si>
  <si>
    <t>P8</t>
  </si>
  <si>
    <t>P9</t>
  </si>
  <si>
    <t>模型拒绝生成</t>
  </si>
  <si>
    <t>P10</t>
  </si>
  <si>
    <t>输出截断乱码</t>
  </si>
  <si>
    <t>P11</t>
  </si>
  <si>
    <t>格式错误</t>
  </si>
  <si>
    <t>字段缺失、类型错误或枚举越界等结构性问题</t>
  </si>
  <si>
    <t>P12</t>
  </si>
  <si>
    <t>无错误</t>
  </si>
  <si>
    <t>全部维度合规，无故障记录</t>
  </si>
  <si>
    <t>洞察摘要</t>
  </si>
  <si>
    <t>建议方向</t>
  </si>
  <si>
    <t>answer_correct == 0</t>
  </si>
  <si>
    <t>knowledge_match == 0</t>
  </si>
  <si>
    <t>存在知识点跑偏或超纲，建议收紧需求解析与拆知识点环节的约束</t>
  </si>
  <si>
    <t>需求解析加固</t>
  </si>
  <si>
    <t>rigor == 0</t>
  </si>
  <si>
    <t>题干存在歧义或条件缺陷，建议增加题干自洽性校验节点</t>
  </si>
  <si>
    <t>自洽性校验</t>
  </si>
  <si>
    <t>context_ok == 0</t>
  </si>
  <si>
    <t>素养情境不达标或存在虚假数据，建议引入情境真实性核验</t>
  </si>
  <si>
    <t>情境真实性核验</t>
  </si>
  <si>
    <t>consistency_risk == 1</t>
  </si>
  <si>
    <t>batch_decay_risk == 1</t>
  </si>
  <si>
    <t>批量连续出题存在质量衰减，建议控制单批次规模或分段生成</t>
  </si>
  <si>
    <t>分段生成</t>
  </si>
  <si>
    <t>hallucination == 1</t>
  </si>
  <si>
    <t>检测到幻觉编造内容，需知识库事实校验兜底后才可上线</t>
  </si>
  <si>
    <t>知识库事实校验</t>
  </si>
  <si>
    <t>retry_rate &gt; 0.2</t>
  </si>
  <si>
    <t>成本优化</t>
  </si>
  <si>
    <t>duplicate_similarity &gt; 0.8</t>
  </si>
  <si>
    <t>全部达标</t>
  </si>
  <si>
    <t>命题质量稳定、输出格式可控、重试成本低，适合作为主力出题模型</t>
  </si>
  <si>
    <t>可作为主力出题模型</t>
  </si>
  <si>
    <t>出题质量（45分）</t>
    <phoneticPr fontId="3" type="noConversion"/>
  </si>
  <si>
    <t>格式语法合规（20分）</t>
    <phoneticPr fontId="3" type="noConversion"/>
  </si>
  <si>
    <t>难度&amp;时长可控（15分）</t>
    <phoneticPr fontId="3" type="noConversion"/>
  </si>
  <si>
    <t>题目实际考察内容是否精准命中指定知识点；是否跑题/混入无关考点/超纲（超出高中课程标准）</t>
  </si>
  <si>
    <t>逐句检查是否存在歧义表述、条件缺失、条件自相矛盾、符号/术语使用不规范</t>
  </si>
  <si>
    <t>题干条件缺失 / 条件自相矛盾 / 隐性逻辑幻觉</t>
  </si>
  <si>
    <t>独立解题后与原题答案逐步对比，判定一致性；解析逻辑跳步也会被判 0</t>
  </si>
  <si>
    <t>计算错误 / 概念理解错误 / 隐性逻辑幻觉</t>
  </si>
  <si>
    <t>干扰项质量差 / 题干条件缺失</t>
  </si>
  <si>
    <t>情境应用/探究题是否符合高中学段背景，数据是否真实合理、有无虚假编造</t>
  </si>
  <si>
    <t>输出存在 JSON 截断 / markdown 残缺 / 乱码 / 结构缺失</t>
  </si>
  <si>
    <t>存在拒绝生成 / 超长过短 / 空输出</t>
  </si>
  <si>
    <t>最低 0 分</t>
  </si>
  <si>
    <t>≤ 0（无日志）</t>
  </si>
  <si>
    <t>工程稳定性&amp;风险（12分）</t>
    <phoneticPr fontId="3" type="noConversion"/>
  </si>
  <si>
    <t>未检测到公式/数据/结论编造</t>
  </si>
  <si>
    <t>多轮输出未出现题干/答案/格式漂移</t>
  </si>
  <si>
    <t>遵守显式约束（禁止超纲/指定结构/禁止编造公式等）</t>
  </si>
  <si>
    <t>1. 评测 Agent 定位为裁判，只评测不生成，避免方法论污染。</t>
  </si>
  <si>
    <t>2. DAG 并行多路 + 汇聚聚合，把主观命题质量拆解为可量化、可对比的维度。</t>
  </si>
  <si>
    <t>3. 全部维度支持 JSON 解析失败、字段非法、标签越界等多重防御性兜底。</t>
  </si>
  <si>
    <t>难度偏差折算 — _DEVIATION_SCORE（aggregate_score_node.py 第 18-23 行）</t>
  </si>
  <si>
    <t>出题质量维度（满分 6）</t>
  </si>
  <si>
    <t>难度&amp;时长维度（满分 8）</t>
  </si>
  <si>
    <t>实测==预设</t>
  </si>
  <si>
    <t>跨 1 档（如预设中档、实测简单）</t>
  </si>
  <si>
    <t>跨 2 档（如预设简单、实测难题）</t>
  </si>
  <si>
    <t>兜底记为中度偏差时折算系数 0.34</t>
  </si>
  <si>
    <t>模型未输出 assessed_difficulty 时使用</t>
  </si>
  <si>
    <t>13项错误根因标签（按业务危害从高到低排序）</t>
    <phoneticPr fontId="3" type="noConversion"/>
  </si>
  <si>
    <r>
      <rPr>
        <b/>
        <sz val="12"/>
        <rFont val="Arial"/>
        <family val="2"/>
      </rPr>
      <t xml:space="preserve">9 </t>
    </r>
    <r>
      <rPr>
        <b/>
        <sz val="12"/>
        <rFont val="Noto Sans SC"/>
        <family val="2"/>
        <charset val="134"/>
      </rPr>
      <t>类定性洞察触发规则</t>
    </r>
    <phoneticPr fontId="3" type="noConversion"/>
  </si>
  <si>
    <r>
      <t>答案正确性不达标（主根因：</t>
    </r>
    <r>
      <rPr>
        <sz val="10"/>
        <rFont val="Arial"/>
        <family val="2"/>
      </rPr>
      <t>{solve_error_type}</t>
    </r>
    <r>
      <rPr>
        <sz val="10"/>
        <rFont val="Noto Sans SC"/>
        <family val="2"/>
        <charset val="134"/>
      </rPr>
      <t>），需人工复核解题链路后重训或加强校验</t>
    </r>
  </si>
  <si>
    <r>
      <t xml:space="preserve">解题链路回查 </t>
    </r>
    <r>
      <rPr>
        <sz val="10"/>
        <rFont val="Arial"/>
        <family val="2"/>
      </rPr>
      <t xml:space="preserve">+ </t>
    </r>
    <r>
      <rPr>
        <sz val="10"/>
        <rFont val="Noto Sans SC"/>
        <family val="2"/>
        <charset val="134"/>
      </rPr>
      <t>重训</t>
    </r>
  </si>
  <si>
    <r>
      <t xml:space="preserve">format_crash == 1 </t>
    </r>
    <r>
      <rPr>
        <sz val="10"/>
        <rFont val="Noto Sans SC"/>
        <family val="2"/>
        <charset val="134"/>
      </rPr>
      <t xml:space="preserve">或 </t>
    </r>
    <r>
      <rPr>
        <sz val="10"/>
        <rFont val="Arial"/>
        <family val="2"/>
      </rPr>
      <t>abnormal_output == 1</t>
    </r>
  </si>
  <si>
    <r>
      <t xml:space="preserve">出现格式崩溃或异常输出，建议 </t>
    </r>
    <r>
      <rPr>
        <sz val="10"/>
        <rFont val="Arial"/>
        <family val="2"/>
      </rPr>
      <t xml:space="preserve">Agent </t>
    </r>
    <r>
      <rPr>
        <sz val="10"/>
        <rFont val="Noto Sans SC"/>
        <family val="2"/>
        <charset val="134"/>
      </rPr>
      <t xml:space="preserve">侧启用 </t>
    </r>
    <r>
      <rPr>
        <sz val="10"/>
        <rFont val="Arial"/>
        <family val="2"/>
      </rPr>
      <t xml:space="preserve">JSON Schema </t>
    </r>
    <r>
      <rPr>
        <sz val="10"/>
        <rFont val="Noto Sans SC"/>
        <family val="2"/>
        <charset val="134"/>
      </rPr>
      <t>强校验</t>
    </r>
    <r>
      <rPr>
        <sz val="10"/>
        <rFont val="Arial"/>
        <family val="2"/>
      </rPr>
      <t>+</t>
    </r>
    <r>
      <rPr>
        <sz val="10"/>
        <rFont val="Noto Sans SC"/>
        <family val="2"/>
        <charset val="134"/>
      </rPr>
      <t>自动重试拦截</t>
    </r>
  </si>
  <si>
    <r>
      <t xml:space="preserve">JSON Schema </t>
    </r>
    <r>
      <rPr>
        <sz val="10"/>
        <rFont val="Noto Sans SC"/>
        <family val="2"/>
        <charset val="134"/>
      </rPr>
      <t>强校验</t>
    </r>
  </si>
  <si>
    <r>
      <t xml:space="preserve">同输入多次生成存在漂移，建议固定采样参数并以 </t>
    </r>
    <r>
      <rPr>
        <sz val="10"/>
        <rFont val="Arial"/>
        <family val="2"/>
      </rPr>
      <t xml:space="preserve">few-shot </t>
    </r>
    <r>
      <rPr>
        <sz val="10"/>
        <rFont val="Noto Sans SC"/>
        <family val="2"/>
        <charset val="134"/>
      </rPr>
      <t>锚定输出格式</t>
    </r>
  </si>
  <si>
    <r>
      <t xml:space="preserve">采样参数固定 </t>
    </r>
    <r>
      <rPr>
        <sz val="10"/>
        <rFont val="Arial"/>
        <family val="2"/>
      </rPr>
      <t>+ few-shot</t>
    </r>
  </si>
  <si>
    <r>
      <t xml:space="preserve">重试率 </t>
    </r>
    <r>
      <rPr>
        <sz val="10"/>
        <rFont val="Arial"/>
        <family val="2"/>
      </rPr>
      <t xml:space="preserve">{retry_rate:.0%} </t>
    </r>
    <r>
      <rPr>
        <sz val="10"/>
        <rFont val="Noto Sans SC"/>
        <family val="2"/>
        <charset val="134"/>
      </rPr>
      <t>偏高，真实单题成本≈单次调用价格</t>
    </r>
    <r>
      <rPr>
        <sz val="10"/>
        <rFont val="Arial"/>
        <family val="2"/>
      </rPr>
      <t>×</t>
    </r>
    <r>
      <rPr>
        <sz val="10"/>
        <rFont val="Noto Sans SC"/>
        <family val="2"/>
        <charset val="134"/>
      </rPr>
      <t xml:space="preserve">平均重试次数 </t>
    </r>
    <r>
      <rPr>
        <sz val="10"/>
        <rFont val="Arial"/>
        <family val="2"/>
      </rPr>
      <t>{retry_count}</t>
    </r>
    <r>
      <rPr>
        <sz val="10"/>
        <rFont val="Noto Sans SC"/>
        <family val="2"/>
        <charset val="134"/>
      </rPr>
      <t>，性价比承压</t>
    </r>
  </si>
  <si>
    <r>
      <t xml:space="preserve">查重相似度 </t>
    </r>
    <r>
      <rPr>
        <sz val="10"/>
        <rFont val="Arial"/>
        <family val="2"/>
      </rPr>
      <t xml:space="preserve">{similarity:.2f} </t>
    </r>
    <r>
      <rPr>
        <sz val="10"/>
        <rFont val="Noto Sans SC"/>
        <family val="2"/>
        <charset val="134"/>
      </rPr>
      <t>偏高，题目原创性不足，存在撞题风险</t>
    </r>
  </si>
  <si>
    <r>
      <t xml:space="preserve">题库扩容 </t>
    </r>
    <r>
      <rPr>
        <sz val="10"/>
        <rFont val="Arial"/>
        <family val="2"/>
      </rPr>
      <t xml:space="preserve">+ </t>
    </r>
    <r>
      <rPr>
        <sz val="10"/>
        <rFont val="Noto Sans SC"/>
        <family val="2"/>
        <charset val="134"/>
      </rPr>
      <t>原创性引导</t>
    </r>
  </si>
  <si>
    <t>P1（最高）</t>
  </si>
  <si>
    <t>独立解题结果与原题答案在数值/推导上不一致</t>
  </si>
  <si>
    <t>对核心概念/定理/方程式的理解与应用出现偏差</t>
  </si>
  <si>
    <t>应用/探究题中出现编造的实验数据、常数或史实结论</t>
  </si>
  <si>
    <t>模型主动拒答/拒绝继续输出题目或答案</t>
  </si>
  <si>
    <t>JSON 截断、markdown 残缺或乱码，无法被下游解析</t>
  </si>
  <si>
    <t>实测难度与预设难度严重不符，跨 2 档以上</t>
  </si>
  <si>
    <t>P13（默认）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</si>
</sst>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Noto Sans SC"/>
      <family val="2"/>
      <charset val="134"/>
    </font>
    <font>
      <sz val="10"/>
      <name val="Arial"/>
      <family val="2"/>
    </font>
    <font>
      <sz val="10"/>
      <name val="Noto Sans SC"/>
      <family val="2"/>
      <charset val="134"/>
    </font>
    <font>
      <sz val="9"/>
      <name val="Noto Sans SC"/>
      <family val="2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1F2937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Noto Sans SC"/>
      <family val="2"/>
      <charset val="134"/>
    </font>
    <font>
      <sz val="11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Noto Sans SC"/>
      <family val="2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FF4D6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6E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6"/>
  <sheetViews>
    <sheetView showGridLines="0" tabSelected="1" zoomScaleNormal="100" workbookViewId="0">
      <selection activeCell="F57" sqref="F57"/>
    </sheetView>
  </sheetViews>
  <sheetFormatPr defaultColWidth="7.625" defaultRowHeight="18" x14ac:dyDescent="0.7"/>
  <cols>
    <col min="1" max="1" width="3.75" customWidth="1"/>
    <col min="2" max="3" width="23.6875" customWidth="1"/>
    <col min="4" max="4" width="17.5" customWidth="1"/>
    <col min="5" max="5" width="37.1875" customWidth="1"/>
    <col min="6" max="6" width="29.875" customWidth="1"/>
  </cols>
  <sheetData>
    <row r="1" spans="2:6" ht="18.399999999999999" thickBot="1" x14ac:dyDescent="0.75"/>
    <row r="2" spans="2:6" x14ac:dyDescent="0.7">
      <c r="B2" s="5" t="s">
        <v>0</v>
      </c>
      <c r="C2" s="6" t="s">
        <v>6</v>
      </c>
      <c r="D2" s="6" t="s">
        <v>1</v>
      </c>
      <c r="E2" s="6" t="s">
        <v>7</v>
      </c>
      <c r="F2" s="7" t="s">
        <v>8</v>
      </c>
    </row>
    <row r="3" spans="2:6" ht="38.25" x14ac:dyDescent="0.7">
      <c r="B3" s="8" t="s">
        <v>115</v>
      </c>
      <c r="C3" s="2" t="s">
        <v>9</v>
      </c>
      <c r="D3" s="2">
        <v>8</v>
      </c>
      <c r="E3" s="2" t="s">
        <v>118</v>
      </c>
      <c r="F3" s="9" t="s">
        <v>10</v>
      </c>
    </row>
    <row r="4" spans="2:6" ht="25.5" x14ac:dyDescent="0.7">
      <c r="B4" s="10"/>
      <c r="C4" s="2" t="s">
        <v>11</v>
      </c>
      <c r="D4" s="2">
        <v>8</v>
      </c>
      <c r="E4" s="2" t="s">
        <v>119</v>
      </c>
      <c r="F4" s="9" t="s">
        <v>120</v>
      </c>
    </row>
    <row r="5" spans="2:6" ht="25.5" x14ac:dyDescent="0.7">
      <c r="B5" s="10"/>
      <c r="C5" s="2" t="s">
        <v>12</v>
      </c>
      <c r="D5" s="2">
        <v>15</v>
      </c>
      <c r="E5" s="2" t="s">
        <v>121</v>
      </c>
      <c r="F5" s="9" t="s">
        <v>122</v>
      </c>
    </row>
    <row r="6" spans="2:6" ht="25.5" x14ac:dyDescent="0.7">
      <c r="B6" s="10"/>
      <c r="C6" s="2" t="s">
        <v>13</v>
      </c>
      <c r="D6" s="2">
        <v>6</v>
      </c>
      <c r="E6" s="2" t="s">
        <v>14</v>
      </c>
      <c r="F6" s="9" t="s">
        <v>15</v>
      </c>
    </row>
    <row r="7" spans="2:6" ht="25.5" x14ac:dyDescent="0.7">
      <c r="B7" s="10"/>
      <c r="C7" s="2" t="s">
        <v>16</v>
      </c>
      <c r="D7" s="2">
        <v>4</v>
      </c>
      <c r="E7" s="2" t="s">
        <v>17</v>
      </c>
      <c r="F7" s="9" t="s">
        <v>123</v>
      </c>
    </row>
    <row r="8" spans="2:6" ht="25.5" x14ac:dyDescent="0.7">
      <c r="B8" s="10"/>
      <c r="C8" s="2" t="s">
        <v>18</v>
      </c>
      <c r="D8" s="2">
        <v>4</v>
      </c>
      <c r="E8" s="2" t="s">
        <v>124</v>
      </c>
      <c r="F8" s="9" t="s">
        <v>19</v>
      </c>
    </row>
    <row r="9" spans="2:6" x14ac:dyDescent="0.7">
      <c r="B9" s="8" t="s">
        <v>116</v>
      </c>
      <c r="C9" s="2" t="s">
        <v>22</v>
      </c>
      <c r="D9" s="2" t="s">
        <v>23</v>
      </c>
      <c r="E9" s="2" t="s">
        <v>24</v>
      </c>
      <c r="F9" s="11"/>
    </row>
    <row r="10" spans="2:6" ht="25.5" x14ac:dyDescent="0.7">
      <c r="B10" s="10"/>
      <c r="C10" s="2" t="s">
        <v>25</v>
      </c>
      <c r="D10" s="2" t="s">
        <v>26</v>
      </c>
      <c r="E10" s="2" t="s">
        <v>125</v>
      </c>
      <c r="F10" s="11"/>
    </row>
    <row r="11" spans="2:6" x14ac:dyDescent="0.7">
      <c r="B11" s="10"/>
      <c r="C11" s="2" t="s">
        <v>27</v>
      </c>
      <c r="D11" s="2" t="s">
        <v>28</v>
      </c>
      <c r="E11" s="2" t="s">
        <v>126</v>
      </c>
      <c r="F11" s="11"/>
    </row>
    <row r="12" spans="2:6" x14ac:dyDescent="0.7">
      <c r="B12" s="10"/>
      <c r="C12" s="2" t="s">
        <v>29</v>
      </c>
      <c r="D12" s="2" t="s">
        <v>30</v>
      </c>
      <c r="E12" s="2" t="s">
        <v>127</v>
      </c>
      <c r="F12" s="11"/>
    </row>
    <row r="13" spans="2:6" x14ac:dyDescent="0.7">
      <c r="B13" s="8" t="s">
        <v>117</v>
      </c>
      <c r="C13" s="2" t="s">
        <v>128</v>
      </c>
      <c r="D13" s="2">
        <v>3</v>
      </c>
      <c r="E13" s="2" t="s">
        <v>31</v>
      </c>
      <c r="F13" s="11"/>
    </row>
    <row r="14" spans="2:6" x14ac:dyDescent="0.7">
      <c r="B14" s="10"/>
      <c r="C14" s="2" t="s">
        <v>32</v>
      </c>
      <c r="D14" s="2">
        <v>7</v>
      </c>
      <c r="E14" s="2" t="s">
        <v>33</v>
      </c>
      <c r="F14" s="11"/>
    </row>
    <row r="15" spans="2:6" x14ac:dyDescent="0.7">
      <c r="B15" s="10"/>
      <c r="C15" s="2" t="s">
        <v>34</v>
      </c>
      <c r="D15" s="2">
        <v>4</v>
      </c>
      <c r="E15" s="2" t="s">
        <v>35</v>
      </c>
      <c r="F15" s="11"/>
    </row>
    <row r="16" spans="2:6" x14ac:dyDescent="0.7">
      <c r="B16" s="10"/>
      <c r="C16" s="2" t="s">
        <v>36</v>
      </c>
      <c r="D16" s="2">
        <v>1</v>
      </c>
      <c r="E16" s="2" t="s">
        <v>37</v>
      </c>
      <c r="F16" s="11"/>
    </row>
    <row r="17" spans="2:7" x14ac:dyDescent="0.7">
      <c r="B17" s="8" t="s">
        <v>129</v>
      </c>
      <c r="C17" s="2" t="s">
        <v>38</v>
      </c>
      <c r="D17" s="2">
        <v>4</v>
      </c>
      <c r="E17" s="2" t="s">
        <v>130</v>
      </c>
      <c r="F17" s="11"/>
    </row>
    <row r="18" spans="2:7" x14ac:dyDescent="0.7">
      <c r="B18" s="10"/>
      <c r="C18" s="2" t="s">
        <v>39</v>
      </c>
      <c r="D18" s="2">
        <v>2</v>
      </c>
      <c r="E18" s="2" t="s">
        <v>40</v>
      </c>
      <c r="F18" s="11"/>
    </row>
    <row r="19" spans="2:7" x14ac:dyDescent="0.7">
      <c r="B19" s="10"/>
      <c r="C19" s="2" t="s">
        <v>41</v>
      </c>
      <c r="D19" s="2">
        <v>3</v>
      </c>
      <c r="E19" s="2" t="s">
        <v>42</v>
      </c>
      <c r="F19" s="11"/>
    </row>
    <row r="20" spans="2:7" x14ac:dyDescent="0.7">
      <c r="B20" s="10"/>
      <c r="C20" s="2" t="s">
        <v>43</v>
      </c>
      <c r="D20" s="2">
        <v>3</v>
      </c>
      <c r="E20" s="2" t="s">
        <v>131</v>
      </c>
      <c r="F20" s="11"/>
    </row>
    <row r="21" spans="2:7" ht="25.5" x14ac:dyDescent="0.7">
      <c r="B21" s="8" t="s">
        <v>2</v>
      </c>
      <c r="C21" s="2" t="s">
        <v>44</v>
      </c>
      <c r="D21" s="2">
        <v>4</v>
      </c>
      <c r="E21" s="2" t="s">
        <v>132</v>
      </c>
      <c r="F21" s="11"/>
    </row>
    <row r="22" spans="2:7" x14ac:dyDescent="0.7">
      <c r="B22" s="10"/>
      <c r="C22" s="2" t="s">
        <v>45</v>
      </c>
      <c r="D22" s="2">
        <v>2</v>
      </c>
      <c r="E22" s="2" t="s">
        <v>46</v>
      </c>
      <c r="F22" s="11"/>
    </row>
    <row r="23" spans="2:7" x14ac:dyDescent="0.7">
      <c r="B23" s="10"/>
      <c r="C23" s="2" t="s">
        <v>47</v>
      </c>
      <c r="D23" s="2">
        <v>2</v>
      </c>
      <c r="E23" s="2" t="s">
        <v>48</v>
      </c>
      <c r="F23" s="11"/>
    </row>
    <row r="24" spans="2:7" ht="18.399999999999999" thickBot="1" x14ac:dyDescent="0.75">
      <c r="B24" s="12" t="s">
        <v>3</v>
      </c>
      <c r="C24" s="13"/>
      <c r="D24" s="13">
        <v>100</v>
      </c>
      <c r="E24" s="13" t="s">
        <v>4</v>
      </c>
      <c r="F24" s="14"/>
    </row>
    <row r="26" spans="2:7" x14ac:dyDescent="0.7">
      <c r="B26" s="42" t="s">
        <v>5</v>
      </c>
      <c r="C26" s="42"/>
      <c r="D26" s="42"/>
      <c r="E26" s="42"/>
    </row>
    <row r="27" spans="2:7" x14ac:dyDescent="0.7">
      <c r="B27" s="35" t="s">
        <v>133</v>
      </c>
      <c r="C27" s="35"/>
      <c r="D27" s="35"/>
      <c r="E27" s="35"/>
    </row>
    <row r="28" spans="2:7" x14ac:dyDescent="0.7">
      <c r="B28" s="35" t="s">
        <v>134</v>
      </c>
      <c r="C28" s="35"/>
      <c r="D28" s="35"/>
      <c r="E28" s="35"/>
    </row>
    <row r="29" spans="2:7" x14ac:dyDescent="0.7">
      <c r="B29" s="35" t="s">
        <v>135</v>
      </c>
      <c r="C29" s="35"/>
      <c r="D29" s="35"/>
      <c r="E29" s="35"/>
    </row>
    <row r="30" spans="2:7" ht="18.399999999999999" thickBot="1" x14ac:dyDescent="0.75"/>
    <row r="31" spans="2:7" x14ac:dyDescent="0.7">
      <c r="B31" s="36" t="s">
        <v>136</v>
      </c>
      <c r="C31" s="37"/>
      <c r="D31" s="37"/>
      <c r="E31" s="37"/>
      <c r="F31" s="37"/>
      <c r="G31" s="38"/>
    </row>
    <row r="32" spans="2:7" ht="27" x14ac:dyDescent="0.7">
      <c r="B32" s="17" t="s">
        <v>49</v>
      </c>
      <c r="C32" s="3" t="s">
        <v>50</v>
      </c>
      <c r="D32" s="3" t="s">
        <v>137</v>
      </c>
      <c r="E32" s="3" t="s">
        <v>138</v>
      </c>
      <c r="F32" s="3" t="s">
        <v>51</v>
      </c>
      <c r="G32" s="18" t="s">
        <v>52</v>
      </c>
    </row>
    <row r="33" spans="2:7" ht="38.25" x14ac:dyDescent="0.7">
      <c r="B33" s="8" t="s">
        <v>53</v>
      </c>
      <c r="C33" s="15">
        <v>1</v>
      </c>
      <c r="D33" s="16">
        <f>ROUND(6*C33, 0)</f>
        <v>6</v>
      </c>
      <c r="E33" s="16">
        <f>ROUND(8*C33, 0)</f>
        <v>8</v>
      </c>
      <c r="F33" s="2" t="s">
        <v>139</v>
      </c>
      <c r="G33" s="9" t="s">
        <v>54</v>
      </c>
    </row>
    <row r="34" spans="2:7" ht="38.25" x14ac:dyDescent="0.7">
      <c r="B34" s="8" t="s">
        <v>55</v>
      </c>
      <c r="C34" s="15">
        <v>0.67</v>
      </c>
      <c r="D34" s="16">
        <f>ROUND(6*C34, 0)</f>
        <v>4</v>
      </c>
      <c r="E34" s="16">
        <f>ROUND(8*C34, 0)</f>
        <v>5</v>
      </c>
      <c r="F34" s="2" t="s">
        <v>140</v>
      </c>
      <c r="G34" s="9" t="s">
        <v>56</v>
      </c>
    </row>
    <row r="35" spans="2:7" ht="51" x14ac:dyDescent="0.7">
      <c r="B35" s="8" t="s">
        <v>57</v>
      </c>
      <c r="C35" s="15">
        <v>0.34</v>
      </c>
      <c r="D35" s="16">
        <f>ROUND(6*C35, 0)</f>
        <v>2</v>
      </c>
      <c r="E35" s="16">
        <f>ROUND(8*C35, 0)</f>
        <v>3</v>
      </c>
      <c r="F35" s="2" t="s">
        <v>141</v>
      </c>
      <c r="G35" s="9" t="s">
        <v>58</v>
      </c>
    </row>
    <row r="36" spans="2:7" ht="76.900000000000006" thickBot="1" x14ac:dyDescent="0.75">
      <c r="B36" s="19" t="s">
        <v>59</v>
      </c>
      <c r="C36" s="20">
        <v>0</v>
      </c>
      <c r="D36" s="21">
        <f>ROUND(6*C36, 0)</f>
        <v>0</v>
      </c>
      <c r="E36" s="21">
        <f>ROUND(8*C36, 0)</f>
        <v>0</v>
      </c>
      <c r="F36" s="22" t="s">
        <v>142</v>
      </c>
      <c r="G36" s="23" t="s">
        <v>143</v>
      </c>
    </row>
    <row r="37" spans="2:7" ht="18.399999999999999" thickBot="1" x14ac:dyDescent="0.75"/>
    <row r="38" spans="2:7" x14ac:dyDescent="0.7">
      <c r="B38" s="39" t="s">
        <v>144</v>
      </c>
      <c r="C38" s="40"/>
      <c r="D38" s="41"/>
    </row>
    <row r="39" spans="2:7" x14ac:dyDescent="0.7">
      <c r="B39" s="26" t="s">
        <v>60</v>
      </c>
      <c r="C39" s="4" t="s">
        <v>61</v>
      </c>
      <c r="D39" s="27" t="s">
        <v>21</v>
      </c>
    </row>
    <row r="40" spans="2:7" ht="40.5" x14ac:dyDescent="0.7">
      <c r="B40" s="28" t="s">
        <v>156</v>
      </c>
      <c r="C40" s="29" t="s">
        <v>62</v>
      </c>
      <c r="D40" s="30" t="s">
        <v>63</v>
      </c>
    </row>
    <row r="41" spans="2:7" ht="38.25" x14ac:dyDescent="0.7">
      <c r="B41" s="8" t="s">
        <v>64</v>
      </c>
      <c r="C41" s="2" t="s">
        <v>65</v>
      </c>
      <c r="D41" s="9" t="s">
        <v>157</v>
      </c>
    </row>
    <row r="42" spans="2:7" ht="38.25" x14ac:dyDescent="0.7">
      <c r="B42" s="8" t="s">
        <v>66</v>
      </c>
      <c r="C42" s="2" t="s">
        <v>67</v>
      </c>
      <c r="D42" s="9" t="s">
        <v>158</v>
      </c>
    </row>
    <row r="43" spans="2:7" ht="25.5" x14ac:dyDescent="0.7">
      <c r="B43" s="8" t="s">
        <v>68</v>
      </c>
      <c r="C43" s="2" t="s">
        <v>69</v>
      </c>
      <c r="D43" s="9" t="s">
        <v>70</v>
      </c>
    </row>
    <row r="44" spans="2:7" ht="25.5" x14ac:dyDescent="0.7">
      <c r="B44" s="8" t="s">
        <v>71</v>
      </c>
      <c r="C44" s="2" t="s">
        <v>72</v>
      </c>
      <c r="D44" s="9" t="s">
        <v>73</v>
      </c>
    </row>
    <row r="45" spans="2:7" ht="38.25" x14ac:dyDescent="0.7">
      <c r="B45" s="8" t="s">
        <v>74</v>
      </c>
      <c r="C45" s="2" t="s">
        <v>10</v>
      </c>
      <c r="D45" s="9" t="s">
        <v>75</v>
      </c>
    </row>
    <row r="46" spans="2:7" ht="38.25" x14ac:dyDescent="0.7">
      <c r="B46" s="8" t="s">
        <v>76</v>
      </c>
      <c r="C46" s="2" t="s">
        <v>77</v>
      </c>
      <c r="D46" s="9" t="s">
        <v>78</v>
      </c>
    </row>
    <row r="47" spans="2:7" ht="38.25" x14ac:dyDescent="0.7">
      <c r="B47" s="8" t="s">
        <v>79</v>
      </c>
      <c r="C47" s="2" t="s">
        <v>19</v>
      </c>
      <c r="D47" s="9" t="s">
        <v>159</v>
      </c>
    </row>
    <row r="48" spans="2:7" ht="25.5" x14ac:dyDescent="0.7">
      <c r="B48" s="8" t="s">
        <v>80</v>
      </c>
      <c r="C48" s="2" t="s">
        <v>81</v>
      </c>
      <c r="D48" s="9" t="s">
        <v>160</v>
      </c>
    </row>
    <row r="49" spans="2:4" ht="40.5" x14ac:dyDescent="0.7">
      <c r="B49" s="28" t="s">
        <v>82</v>
      </c>
      <c r="C49" s="29" t="s">
        <v>83</v>
      </c>
      <c r="D49" s="30" t="s">
        <v>161</v>
      </c>
    </row>
    <row r="50" spans="2:4" ht="40.5" x14ac:dyDescent="0.7">
      <c r="B50" s="28" t="s">
        <v>84</v>
      </c>
      <c r="C50" s="29" t="s">
        <v>85</v>
      </c>
      <c r="D50" s="30" t="s">
        <v>86</v>
      </c>
    </row>
    <row r="51" spans="2:4" ht="40.5" x14ac:dyDescent="0.7">
      <c r="B51" s="28" t="s">
        <v>87</v>
      </c>
      <c r="C51" s="29" t="s">
        <v>15</v>
      </c>
      <c r="D51" s="30" t="s">
        <v>162</v>
      </c>
    </row>
    <row r="52" spans="2:4" ht="27.4" thickBot="1" x14ac:dyDescent="0.75">
      <c r="B52" s="31" t="s">
        <v>163</v>
      </c>
      <c r="C52" s="32" t="s">
        <v>88</v>
      </c>
      <c r="D52" s="33" t="s">
        <v>89</v>
      </c>
    </row>
    <row r="54" spans="2:4" ht="19.5" x14ac:dyDescent="0.7">
      <c r="B54" s="34" t="s">
        <v>145</v>
      </c>
      <c r="C54" s="34"/>
      <c r="D54" s="34"/>
    </row>
    <row r="55" spans="2:4" x14ac:dyDescent="0.7">
      <c r="B55" s="25" t="s">
        <v>20</v>
      </c>
      <c r="C55" s="25" t="s">
        <v>90</v>
      </c>
      <c r="D55" s="25" t="s">
        <v>91</v>
      </c>
    </row>
    <row r="56" spans="2:4" ht="66" x14ac:dyDescent="0.7">
      <c r="B56" s="24" t="s">
        <v>92</v>
      </c>
      <c r="C56" s="1" t="s">
        <v>146</v>
      </c>
      <c r="D56" s="1" t="s">
        <v>147</v>
      </c>
    </row>
    <row r="57" spans="2:4" ht="49.5" x14ac:dyDescent="0.7">
      <c r="B57" s="24" t="s">
        <v>93</v>
      </c>
      <c r="C57" s="1" t="s">
        <v>94</v>
      </c>
      <c r="D57" s="1" t="s">
        <v>95</v>
      </c>
    </row>
    <row r="58" spans="2:4" ht="33" x14ac:dyDescent="0.7">
      <c r="B58" s="24" t="s">
        <v>96</v>
      </c>
      <c r="C58" s="1" t="s">
        <v>97</v>
      </c>
      <c r="D58" s="1" t="s">
        <v>98</v>
      </c>
    </row>
    <row r="59" spans="2:4" ht="33" x14ac:dyDescent="0.7">
      <c r="B59" s="24" t="s">
        <v>99</v>
      </c>
      <c r="C59" s="1" t="s">
        <v>100</v>
      </c>
      <c r="D59" s="1" t="s">
        <v>101</v>
      </c>
    </row>
    <row r="60" spans="2:4" ht="49.5" x14ac:dyDescent="0.7">
      <c r="B60" s="24" t="s">
        <v>148</v>
      </c>
      <c r="C60" s="1" t="s">
        <v>149</v>
      </c>
      <c r="D60" s="24" t="s">
        <v>150</v>
      </c>
    </row>
    <row r="61" spans="2:4" ht="49.5" x14ac:dyDescent="0.7">
      <c r="B61" s="24" t="s">
        <v>102</v>
      </c>
      <c r="C61" s="1" t="s">
        <v>151</v>
      </c>
      <c r="D61" s="1" t="s">
        <v>152</v>
      </c>
    </row>
    <row r="62" spans="2:4" ht="49.5" x14ac:dyDescent="0.7">
      <c r="B62" s="24" t="s">
        <v>103</v>
      </c>
      <c r="C62" s="1" t="s">
        <v>104</v>
      </c>
      <c r="D62" s="1" t="s">
        <v>105</v>
      </c>
    </row>
    <row r="63" spans="2:4" ht="33" x14ac:dyDescent="0.7">
      <c r="B63" s="24" t="s">
        <v>106</v>
      </c>
      <c r="C63" s="1" t="s">
        <v>107</v>
      </c>
      <c r="D63" s="1" t="s">
        <v>108</v>
      </c>
    </row>
    <row r="64" spans="2:4" ht="66" x14ac:dyDescent="0.7">
      <c r="B64" s="24" t="s">
        <v>109</v>
      </c>
      <c r="C64" s="1" t="s">
        <v>153</v>
      </c>
      <c r="D64" s="1" t="s">
        <v>110</v>
      </c>
    </row>
    <row r="65" spans="2:4" ht="49.5" x14ac:dyDescent="0.7">
      <c r="B65" s="24" t="s">
        <v>111</v>
      </c>
      <c r="C65" s="1" t="s">
        <v>154</v>
      </c>
      <c r="D65" s="1" t="s">
        <v>155</v>
      </c>
    </row>
    <row r="66" spans="2:4" ht="49.5" x14ac:dyDescent="0.7">
      <c r="B66" s="1" t="s">
        <v>112</v>
      </c>
      <c r="C66" s="1" t="s">
        <v>113</v>
      </c>
      <c r="D66" s="1" t="s">
        <v>114</v>
      </c>
    </row>
  </sheetData>
  <mergeCells count="7">
    <mergeCell ref="B54:D54"/>
    <mergeCell ref="B29:E29"/>
    <mergeCell ref="B31:G31"/>
    <mergeCell ref="B38:D38"/>
    <mergeCell ref="B26:E26"/>
    <mergeCell ref="B27:E27"/>
    <mergeCell ref="B28:E28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总体概览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智丽 殷</cp:lastModifiedBy>
  <cp:revision>0</cp:revision>
  <dcterms:created xsi:type="dcterms:W3CDTF">2026-09-20T09:59:09Z</dcterms:created>
  <dcterms:modified xsi:type="dcterms:W3CDTF">2026-09-23T01:48:27Z</dcterms:modified>
  <dc:language>zh-CN</dc:language>
</cp:coreProperties>
</file>